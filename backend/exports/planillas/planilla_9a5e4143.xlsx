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4" fontId="0" fillId="0" borderId="0" pivotButton="0" quotePrefix="0" xfId="0"/>
    <xf numFmtId="0" fontId="8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4" fontId="8" fillId="0" borderId="2" applyAlignment="1" pivotButton="0" quotePrefix="0" xfId="0">
      <alignment wrapText="1"/>
    </xf>
    <xf numFmtId="0" fontId="0" fillId="0" borderId="1" pivotButton="0" quotePrefix="0" xfId="0"/>
    <xf numFmtId="0" fontId="8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tabSelected="1" zoomScale="68" workbookViewId="0">
      <selection activeCell="X19" sqref="X19"/>
    </sheetView>
  </sheetViews>
  <sheetFormatPr baseColWidth="10" defaultColWidth="9.140625" defaultRowHeight="15"/>
  <cols>
    <col width="7.140625" customWidth="1" min="1" max="1"/>
    <col width="24" customWidth="1" min="2" max="2"/>
    <col width="25" customWidth="1" min="3" max="3"/>
    <col width="19" customWidth="1" min="4" max="4"/>
    <col width="21" customWidth="1" min="5" max="5"/>
    <col width="12" customWidth="1" min="6" max="6"/>
    <col width="25" customWidth="1" min="7" max="7"/>
    <col width="18" customWidth="1" min="8" max="8"/>
    <col width="8" customWidth="1" min="9" max="9"/>
    <col width="9.5703125" customWidth="1" min="10" max="10"/>
    <col width="10.7109375" customWidth="1" min="11" max="11"/>
    <col width="11.5703125" customWidth="1" min="12" max="12"/>
    <col width="11.7109375" customWidth="1" min="13" max="13"/>
    <col width="11.140625" customWidth="1" min="14" max="14"/>
    <col width="13.28515625" customWidth="1" min="15" max="15"/>
    <col width="12.42578125" customWidth="1" min="16" max="16"/>
    <col width="10.7109375" customWidth="1" min="18" max="18"/>
    <col width="12.7109375" customWidth="1" min="19" max="19"/>
    <col width="8.28515625" customWidth="1" min="20" max="20"/>
    <col width="11.42578125" customWidth="1" min="21" max="21"/>
    <col width="16.42578125" customWidth="1" min="22" max="22"/>
    <col width="12.7109375" customWidth="1" min="23" max="23"/>
    <col width="27.140625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28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1" t="n"/>
      <c r="G3" s="28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1" t="n"/>
      <c r="P3" s="28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2" t="inlineStr">
        <is>
          <t>CORRESPONDIENTE AL MES DE JULIO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20" t="n">
        <v>1</v>
      </c>
      <c r="B11" s="35" t="inlineStr">
        <is>
          <t>6051632 - LP</t>
        </is>
      </c>
      <c r="C11" s="35" t="inlineStr">
        <is>
          <t>CHAPI RAMOS JUAN JOSE</t>
        </is>
      </c>
      <c r="D11" s="35" t="inlineStr">
        <is>
          <t>Boliviana</t>
        </is>
      </c>
      <c r="E11" s="35" t="inlineStr">
        <is>
          <t>1981-11-05</t>
        </is>
      </c>
      <c r="F11" s="35" t="inlineStr">
        <is>
          <t>M</t>
        </is>
      </c>
      <c r="G11" s="35" t="inlineStr">
        <is>
          <t>Tornero</t>
        </is>
      </c>
      <c r="H11" s="35" t="inlineStr">
        <is>
          <t>2015-06-01</t>
        </is>
      </c>
      <c r="I11" s="20" t="n">
        <v>240</v>
      </c>
      <c r="J11" s="20" t="n">
        <v>30</v>
      </c>
      <c r="K11" s="36" t="n">
        <v>3712.35</v>
      </c>
      <c r="L11" s="36" t="n">
        <v>2574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6286.35</v>
      </c>
      <c r="S11" s="36" t="n">
        <v>799</v>
      </c>
      <c r="T11" s="36" t="n">
        <v>0</v>
      </c>
      <c r="U11" s="36" t="n">
        <v>0</v>
      </c>
      <c r="V11" s="36" t="n">
        <v>799</v>
      </c>
      <c r="W11" s="36" t="n">
        <v>5487.35</v>
      </c>
      <c r="X11" s="20" t="n"/>
    </row>
    <row r="12">
      <c r="A12" s="20" t="n">
        <v>2</v>
      </c>
      <c r="B12" s="35" t="inlineStr">
        <is>
          <t>6570013 - PT</t>
        </is>
      </c>
      <c r="C12" s="35" t="inlineStr">
        <is>
          <t>MANRRIQUE SANTI HIPOLITO</t>
        </is>
      </c>
      <c r="D12" s="35" t="inlineStr">
        <is>
          <t>Boliviana</t>
        </is>
      </c>
      <c r="E12" s="35" t="inlineStr">
        <is>
          <t>1972-04-01</t>
        </is>
      </c>
      <c r="F12" s="35" t="inlineStr">
        <is>
          <t>M</t>
        </is>
      </c>
      <c r="G12" s="35" t="inlineStr">
        <is>
          <t>Administrador</t>
        </is>
      </c>
      <c r="H12" s="35" t="inlineStr">
        <is>
          <t>2015-04-15</t>
        </is>
      </c>
      <c r="I12" s="20" t="n">
        <v>240</v>
      </c>
      <c r="J12" s="20" t="n">
        <v>30</v>
      </c>
      <c r="K12" s="36" t="n">
        <v>5197.35</v>
      </c>
      <c r="L12" s="36" t="n">
        <v>2574</v>
      </c>
      <c r="M12" s="36" t="n">
        <v>0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7771.35</v>
      </c>
      <c r="S12" s="36" t="n">
        <v>987.74</v>
      </c>
      <c r="T12" s="36" t="n">
        <v>0</v>
      </c>
      <c r="U12" s="36" t="n">
        <v>0</v>
      </c>
      <c r="V12" s="36" t="n">
        <v>987.74</v>
      </c>
      <c r="W12" s="36" t="n">
        <v>6783.61</v>
      </c>
      <c r="X12" s="20" t="n"/>
    </row>
    <row r="13">
      <c r="A13" t="n">
        <v>3</v>
      </c>
      <c r="B13" s="37" t="inlineStr">
        <is>
          <t>4369408 - OR</t>
        </is>
      </c>
      <c r="C13" s="37" t="inlineStr">
        <is>
          <t>CHAMBILLA CHOQUE FREDDY ALEX</t>
        </is>
      </c>
      <c r="D13" s="37" t="inlineStr">
        <is>
          <t>Boliviana</t>
        </is>
      </c>
      <c r="E13" s="37" t="inlineStr">
        <is>
          <t>1973-05-29</t>
        </is>
      </c>
      <c r="F13" s="37" t="inlineStr">
        <is>
          <t>M</t>
        </is>
      </c>
      <c r="G13" s="37" t="inlineStr">
        <is>
          <t>Tornero</t>
        </is>
      </c>
      <c r="H13" s="37" t="inlineStr">
        <is>
          <t>2015-06-01</t>
        </is>
      </c>
      <c r="I13" t="n">
        <v>240</v>
      </c>
      <c r="J13" t="n">
        <v>30</v>
      </c>
      <c r="K13" s="38" t="n">
        <v>3300</v>
      </c>
      <c r="L13" s="38" t="n">
        <v>2574</v>
      </c>
      <c r="M13" s="38" t="n">
        <v>0</v>
      </c>
      <c r="N13" s="38" t="n">
        <v>0</v>
      </c>
      <c r="O13" s="38" t="n">
        <v>0</v>
      </c>
      <c r="P13" s="38" t="n">
        <v>0</v>
      </c>
      <c r="Q13" s="38" t="n">
        <v>0</v>
      </c>
      <c r="R13" s="38" t="n">
        <v>5874</v>
      </c>
      <c r="S13" s="38" t="n">
        <v>746.59</v>
      </c>
      <c r="T13" s="38" t="n">
        <v>0</v>
      </c>
      <c r="U13" s="38" t="n">
        <v>0</v>
      </c>
      <c r="V13" s="38" t="n">
        <v>746.59</v>
      </c>
      <c r="W13" s="38" t="n">
        <v>5127.41</v>
      </c>
    </row>
    <row r="14">
      <c r="A14" t="n">
        <v>4</v>
      </c>
      <c r="B14" s="37" t="inlineStr">
        <is>
          <t>3440193 - LP</t>
        </is>
      </c>
      <c r="C14" s="37" t="inlineStr">
        <is>
          <t>CHAPI CALLE SABINO</t>
        </is>
      </c>
      <c r="D14" s="37" t="inlineStr">
        <is>
          <t>Boliviana</t>
        </is>
      </c>
      <c r="E14" s="37" t="inlineStr">
        <is>
          <t>1967-04-07</t>
        </is>
      </c>
      <c r="F14" s="37" t="inlineStr">
        <is>
          <t>M</t>
        </is>
      </c>
      <c r="G14" s="37" t="inlineStr">
        <is>
          <t>Chofer</t>
        </is>
      </c>
      <c r="H14" s="37" t="inlineStr">
        <is>
          <t>2015-06-01</t>
        </is>
      </c>
      <c r="I14" t="n">
        <v>240</v>
      </c>
      <c r="J14" t="n">
        <v>30</v>
      </c>
      <c r="K14" s="38" t="n">
        <v>3300</v>
      </c>
      <c r="L14" s="38" t="n">
        <v>2574</v>
      </c>
      <c r="M14" s="38" t="n">
        <v>0</v>
      </c>
      <c r="N14" s="38" t="n">
        <v>0</v>
      </c>
      <c r="O14" s="38" t="n">
        <v>0</v>
      </c>
      <c r="P14" s="38" t="n">
        <v>0</v>
      </c>
      <c r="Q14" s="38" t="n">
        <v>0</v>
      </c>
      <c r="R14" s="38" t="n">
        <v>5874</v>
      </c>
      <c r="S14" s="38" t="n">
        <v>746.59</v>
      </c>
      <c r="T14" s="38" t="n">
        <v>0</v>
      </c>
      <c r="U14" s="38" t="n">
        <v>0</v>
      </c>
      <c r="V14" s="38" t="n">
        <v>746.59</v>
      </c>
      <c r="W14" s="38" t="n">
        <v>5127.41</v>
      </c>
    </row>
    <row r="15" ht="15" customHeight="1">
      <c r="A15" t="n">
        <v>5</v>
      </c>
      <c r="B15" s="37" t="inlineStr">
        <is>
          <t>9879992 - LP</t>
        </is>
      </c>
      <c r="C15" s="37" t="inlineStr">
        <is>
          <t>BRAVO ACOSTA GABRIEL</t>
        </is>
      </c>
      <c r="D15" s="37" t="inlineStr">
        <is>
          <t>Boliviana</t>
        </is>
      </c>
      <c r="E15" s="37" t="inlineStr">
        <is>
          <t>1990-09-01</t>
        </is>
      </c>
      <c r="F15" s="37" t="inlineStr">
        <is>
          <t>M</t>
        </is>
      </c>
      <c r="G15" s="37" t="inlineStr">
        <is>
          <t>Soldador</t>
        </is>
      </c>
      <c r="H15" s="37" t="inlineStr">
        <is>
          <t>2022-02-14</t>
        </is>
      </c>
      <c r="I15" t="n">
        <v>240</v>
      </c>
      <c r="J15" t="n">
        <v>30</v>
      </c>
      <c r="K15" s="38" t="n">
        <v>3300</v>
      </c>
      <c r="L15" s="38" t="n">
        <v>495</v>
      </c>
      <c r="M15" s="38" t="n">
        <v>0</v>
      </c>
      <c r="N15" s="38" t="n">
        <v>0</v>
      </c>
      <c r="O15" s="38" t="n">
        <v>0</v>
      </c>
      <c r="P15" s="38" t="n">
        <v>0</v>
      </c>
      <c r="Q15" s="38" t="n">
        <v>0</v>
      </c>
      <c r="R15" s="38" t="n">
        <v>3795</v>
      </c>
      <c r="S15" s="38" t="n">
        <v>482.34</v>
      </c>
      <c r="T15" s="38" t="n">
        <v>0</v>
      </c>
      <c r="U15" s="38" t="n">
        <v>0</v>
      </c>
      <c r="V15" s="38" t="n">
        <v>482.34</v>
      </c>
      <c r="W15" s="38" t="n">
        <v>3312.66</v>
      </c>
    </row>
    <row r="16" ht="33" customHeight="1">
      <c r="A16" t="n">
        <v>6</v>
      </c>
      <c r="B16" s="37" t="inlineStr">
        <is>
          <t>2448510 - LP</t>
        </is>
      </c>
      <c r="C16" s="37" t="inlineStr">
        <is>
          <t>VEIDA JALDIN JOSE LUIS GERARDO</t>
        </is>
      </c>
      <c r="D16" s="37" t="inlineStr">
        <is>
          <t>Boliviana</t>
        </is>
      </c>
      <c r="E16" s="37" t="inlineStr">
        <is>
          <t>1971-09-01</t>
        </is>
      </c>
      <c r="F16" s="37" t="inlineStr">
        <is>
          <t>M</t>
        </is>
      </c>
      <c r="G16" s="37" t="inlineStr">
        <is>
          <t>Tecnico Dibujante</t>
        </is>
      </c>
      <c r="H16" s="37" t="inlineStr">
        <is>
          <t>2025-01-01</t>
        </is>
      </c>
      <c r="I16" t="n">
        <v>240</v>
      </c>
      <c r="J16" t="n">
        <v>30</v>
      </c>
      <c r="K16" s="38" t="n">
        <v>3300</v>
      </c>
      <c r="L16" s="38" t="n">
        <v>0</v>
      </c>
      <c r="M16" s="38" t="n">
        <v>0</v>
      </c>
      <c r="N16" s="38" t="n">
        <v>0</v>
      </c>
      <c r="O16" s="38" t="n">
        <v>0</v>
      </c>
      <c r="P16" s="38" t="n">
        <v>0</v>
      </c>
      <c r="Q16" s="38" t="n">
        <v>0</v>
      </c>
      <c r="R16" s="38" t="n">
        <v>3300</v>
      </c>
      <c r="S16" s="38" t="n">
        <v>419.43</v>
      </c>
      <c r="T16" s="38" t="n">
        <v>0</v>
      </c>
      <c r="U16" s="38" t="n">
        <v>0</v>
      </c>
      <c r="V16" s="38" t="n">
        <v>419.43</v>
      </c>
      <c r="W16" s="38" t="n">
        <v>2880.57</v>
      </c>
    </row>
    <row r="17" ht="27" customHeight="1">
      <c r="A17" t="n">
        <v>7</v>
      </c>
      <c r="B17" s="37" t="inlineStr">
        <is>
          <t>3972029 - LP</t>
        </is>
      </c>
      <c r="C17" s="37" t="inlineStr">
        <is>
          <t>FLORES GIRON GERARDO REISINY</t>
        </is>
      </c>
      <c r="D17" s="37" t="inlineStr">
        <is>
          <t>Boliviana</t>
        </is>
      </c>
      <c r="E17" s="37" t="inlineStr">
        <is>
          <t>1974-09-24</t>
        </is>
      </c>
      <c r="F17" s="37" t="inlineStr">
        <is>
          <t>M</t>
        </is>
      </c>
      <c r="G17" s="37" t="inlineStr">
        <is>
          <t>Electrico</t>
        </is>
      </c>
      <c r="H17" s="37" t="inlineStr">
        <is>
          <t>2026-07-01</t>
        </is>
      </c>
      <c r="I17" t="n">
        <v>240</v>
      </c>
      <c r="J17" t="n">
        <v>30</v>
      </c>
      <c r="K17" s="38" t="n">
        <v>3300</v>
      </c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0</v>
      </c>
      <c r="R17" s="38" t="n">
        <v>3300</v>
      </c>
      <c r="S17" s="38" t="n">
        <v>419.43</v>
      </c>
      <c r="T17" s="38" t="n">
        <v>0</v>
      </c>
      <c r="U17" s="38" t="n">
        <v>0</v>
      </c>
      <c r="V17" s="38" t="n">
        <v>419.43</v>
      </c>
      <c r="W17" s="38" t="n">
        <v>2880.57</v>
      </c>
    </row>
    <row r="18">
      <c r="A18" s="39" t="inlineStr">
        <is>
          <t>TOTALES</t>
        </is>
      </c>
      <c r="B18" s="40" t="n"/>
      <c r="C18" s="40" t="n"/>
      <c r="D18" s="40" t="n"/>
      <c r="E18" s="40" t="n"/>
      <c r="F18" s="40" t="n"/>
      <c r="G18" s="40" t="n"/>
      <c r="H18" s="40" t="n"/>
      <c r="I18" s="29" t="n"/>
      <c r="J18" s="30" t="n"/>
      <c r="K18" s="41">
        <f>SUM(K11:K17)</f>
        <v/>
      </c>
      <c r="L18" s="41">
        <f>SUM(L11:L17)</f>
        <v/>
      </c>
      <c r="M18" s="41">
        <f>SUM(M11:M17)</f>
        <v/>
      </c>
      <c r="N18" s="41">
        <f>SUM(N11:N17)</f>
        <v/>
      </c>
      <c r="O18" s="41">
        <f>SUM(O11:O17)</f>
        <v/>
      </c>
      <c r="P18" s="41">
        <f>SUM(P11:P17)</f>
        <v/>
      </c>
      <c r="Q18" s="41">
        <f>SUM(Q11:Q17)</f>
        <v/>
      </c>
      <c r="R18" s="41">
        <f>SUM(R11:R17)</f>
        <v/>
      </c>
      <c r="S18" s="41">
        <f>SUM(S11:S17)</f>
        <v/>
      </c>
      <c r="T18" s="41">
        <f>SUM(T11:T17)</f>
        <v/>
      </c>
      <c r="U18" s="41">
        <f>SUM(U11:U17)</f>
        <v/>
      </c>
      <c r="V18" s="41">
        <f>SUM(V11:V17)</f>
        <v/>
      </c>
      <c r="W18" s="41">
        <f>SUM(W11:W17)</f>
        <v/>
      </c>
      <c r="X18" s="24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25" t="inlineStr">
        <is>
          <t>…............................................................................................................................................................</t>
        </is>
      </c>
      <c r="E21" s="42" t="n"/>
      <c r="F21" s="42" t="n"/>
      <c r="G21" s="42" t="n"/>
      <c r="H21" s="42" t="n"/>
      <c r="I21" s="42" t="n"/>
      <c r="J21" s="2" t="n"/>
      <c r="K21" s="2" t="n"/>
      <c r="L21" s="25" t="inlineStr">
        <is>
          <t>…..........................................................................................................</t>
        </is>
      </c>
      <c r="M21" s="42" t="n"/>
      <c r="N21" s="42" t="n"/>
      <c r="O21" s="42" t="n"/>
      <c r="P21" s="2" t="n"/>
      <c r="Q21" s="2" t="n"/>
      <c r="R21" s="25" t="inlineStr">
        <is>
          <t>….................................................................................................</t>
        </is>
      </c>
      <c r="S21" s="42" t="n"/>
      <c r="T21" s="42" t="n"/>
      <c r="U21" s="42" t="n"/>
      <c r="V21" s="1" t="n"/>
      <c r="W21" s="1" t="n"/>
      <c r="X21" s="1" t="n"/>
    </row>
    <row r="22">
      <c r="A22" s="1" t="n"/>
      <c r="B22" s="1" t="n"/>
      <c r="C22" s="1" t="n"/>
      <c r="D22" s="43" t="inlineStr">
        <is>
          <t>MANRRIQUE SANTI HIPOLITO</t>
        </is>
      </c>
      <c r="J22" s="2" t="n"/>
      <c r="K22" s="2" t="n"/>
      <c r="L22" s="43" t="inlineStr">
        <is>
          <t>CI: 6570013</t>
        </is>
      </c>
      <c r="P22" s="2" t="n"/>
      <c r="Q22" s="2" t="n"/>
      <c r="R22" s="26" t="inlineStr">
        <is>
          <t>FIRMA</t>
        </is>
      </c>
      <c r="S22" s="44" t="n"/>
      <c r="T22" s="44" t="n"/>
      <c r="U22" s="44" t="n"/>
      <c r="V22" s="1" t="n"/>
      <c r="W22" s="1" t="n"/>
      <c r="X22" s="1" t="n"/>
    </row>
  </sheetData>
  <mergeCells count="42">
    <mergeCell ref="R17:U17"/>
    <mergeCell ref="A8:A10"/>
    <mergeCell ref="P2:R2"/>
    <mergeCell ref="W8:W10"/>
    <mergeCell ref="D17:I17"/>
    <mergeCell ref="D8:D10"/>
    <mergeCell ref="A3:F3"/>
    <mergeCell ref="D16:I16"/>
    <mergeCell ref="A2:C2"/>
    <mergeCell ref="A13:J13"/>
    <mergeCell ref="M8:M10"/>
    <mergeCell ref="O8:O10"/>
    <mergeCell ref="U8:U10"/>
    <mergeCell ref="C8:C10"/>
    <mergeCell ref="R8:R10"/>
    <mergeCell ref="L17:O17"/>
    <mergeCell ref="X8:X10"/>
    <mergeCell ref="L16:O16"/>
    <mergeCell ref="U6:X6"/>
    <mergeCell ref="G8:G10"/>
    <mergeCell ref="P3:R3"/>
    <mergeCell ref="H8:H10"/>
    <mergeCell ref="J8:J10"/>
    <mergeCell ref="E8:E10"/>
    <mergeCell ref="V8:V10"/>
    <mergeCell ref="L3:O3"/>
    <mergeCell ref="R16:U16"/>
    <mergeCell ref="B8:B10"/>
    <mergeCell ref="D2:J2"/>
    <mergeCell ref="S8:S10"/>
    <mergeCell ref="L2:N2"/>
    <mergeCell ref="Q8:Q10"/>
    <mergeCell ref="J5:O5"/>
    <mergeCell ref="G3:J3"/>
    <mergeCell ref="L8:L10"/>
    <mergeCell ref="N8:N10"/>
    <mergeCell ref="I8:I10"/>
    <mergeCell ref="P8:P10"/>
    <mergeCell ref="K8:K10"/>
    <mergeCell ref="T8:T10"/>
    <mergeCell ref="F8:F10"/>
    <mergeCell ref="J6:O6"/>
  </mergeCells>
  <pageMargins left="0.1968503937007874" right="0.1968503937007874" top="0.7480314960629921" bottom="0.1968503937007874" header="0.1968503937007874" footer="0.1968503937007874"/>
  <pageSetup orientation="landscape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2026-09-09T15:03:33Z</dcterms:modified>
  <cp:lastModifiedBy>Rengifo</cp:lastModifiedBy>
  <cp:lastPrinted>2026-09-02T13:09:05Z</cp:lastPrinted>
</cp:coreProperties>
</file>