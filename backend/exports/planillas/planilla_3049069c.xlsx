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Aptos Narrow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b val="1"/>
      <color theme="1"/>
      <sz val="18"/>
    </font>
    <font>
      <name val="Arial"/>
      <b val="1"/>
      <sz val="10"/>
    </font>
    <font>
      <name val="Arial"/>
      <b val="1"/>
      <sz val="9.5"/>
    </font>
    <font>
      <name val="Arial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00EDEDED"/>
        <bgColor rgb="00EDEDED"/>
      </patternFill>
    </fill>
    <fill>
      <patternFill patternType="solid">
        <fgColor rgb="00DFDFDF"/>
        <bgColor rgb="00DFDFDF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center" wrapText="1"/>
    </xf>
    <xf numFmtId="0" fontId="5" fillId="0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wrapText="1"/>
    </xf>
    <xf numFmtId="0" fontId="6" fillId="0" borderId="7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wrapText="1"/>
    </xf>
    <xf numFmtId="0" fontId="4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4" fillId="0" borderId="2" applyAlignment="1" pivotButton="0" quotePrefix="0" xfId="0">
      <alignment wrapText="1"/>
    </xf>
    <xf numFmtId="0" fontId="3" fillId="0" borderId="1" applyAlignment="1" pivotButton="0" quotePrefix="0" xfId="0">
      <alignment horizontal="center" wrapText="1"/>
    </xf>
    <xf numFmtId="0" fontId="4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8" fillId="0" borderId="2" applyAlignment="1" pivotButton="0" quotePrefix="0" xfId="0">
      <alignment horizontal="center" vertical="center"/>
    </xf>
    <xf numFmtId="0" fontId="0" fillId="0" borderId="7" pivotButton="0" quotePrefix="0" xfId="0"/>
    <xf numFmtId="0" fontId="9" fillId="0" borderId="0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10" fillId="0" borderId="12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left" vertical="center" wrapText="1"/>
    </xf>
    <xf numFmtId="0" fontId="10" fillId="0" borderId="12" applyAlignment="1" pivotButton="0" quotePrefix="0" xfId="0">
      <alignment horizontal="right" vertical="center" wrapText="1"/>
    </xf>
    <xf numFmtId="4" fontId="10" fillId="0" borderId="12" applyAlignment="1" pivotButton="0" quotePrefix="0" xfId="0">
      <alignment horizontal="right" vertical="center" wrapText="1"/>
    </xf>
    <xf numFmtId="4" fontId="10" fillId="3" borderId="12" applyAlignment="1" pivotButton="0" quotePrefix="0" xfId="0">
      <alignment horizontal="right" vertical="center" wrapText="1"/>
    </xf>
    <xf numFmtId="0" fontId="9" fillId="0" borderId="13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4" fontId="9" fillId="0" borderId="12" applyAlignment="1" pivotButton="0" quotePrefix="0" xfId="0">
      <alignment horizontal="right" vertical="center"/>
    </xf>
    <xf numFmtId="4" fontId="9" fillId="4" borderId="12" applyAlignment="1" pivotButton="0" quotePrefix="0" xfId="0">
      <alignment horizontal="right" vertical="center"/>
    </xf>
    <xf numFmtId="0" fontId="0" fillId="0" borderId="12" pivotButton="0" quotePrefix="0" xfId="0"/>
    <xf numFmtId="0" fontId="11" fillId="0" borderId="0" applyAlignment="1" pivotButton="0" quotePrefix="0" xfId="0">
      <alignment horizontal="center" vertical="bottom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2"/>
  <sheetViews>
    <sheetView tabSelected="1" zoomScale="68" workbookViewId="0">
      <selection activeCell="X19" sqref="X19"/>
    </sheetView>
  </sheetViews>
  <sheetFormatPr baseColWidth="10" defaultColWidth="9.140625" defaultRowHeight="15"/>
  <cols>
    <col width="5" customWidth="1" min="1" max="1"/>
    <col width="14.5" customWidth="1" min="2" max="2"/>
    <col width="33" customWidth="1" min="3" max="3"/>
    <col width="10" customWidth="1" min="4" max="4"/>
    <col width="12" customWidth="1" min="5" max="5"/>
    <col width="6.5" customWidth="1" min="6" max="6"/>
    <col width="17.5" customWidth="1" min="7" max="7"/>
    <col width="12" customWidth="1" min="8" max="8"/>
    <col width="7.5" customWidth="1" min="9" max="9"/>
    <col width="7" customWidth="1" min="10" max="10"/>
    <col width="12.5" customWidth="1" min="11" max="11"/>
    <col width="11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3.5" customWidth="1" min="18" max="18"/>
    <col width="11.5" customWidth="1" min="19" max="19"/>
    <col width="8.5" customWidth="1" min="20" max="20"/>
    <col width="11" customWidth="1" min="21" max="21"/>
    <col width="13.5" customWidth="1" min="22" max="22"/>
    <col width="13.5" customWidth="1" min="23" max="23"/>
    <col width="15" customWidth="1" min="24" max="24"/>
  </cols>
  <sheetData>
    <row r="1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</row>
    <row r="2" ht="14.45" customHeight="1">
      <c r="A2" s="4" t="inlineStr">
        <is>
          <t>NOMBRE O RAZÓN SOCIAL</t>
        </is>
      </c>
      <c r="D2" s="28" t="inlineStr">
        <is>
          <t>MANRRIQUE SANTI HIPOLITO</t>
        </is>
      </c>
      <c r="E2" s="29" t="n"/>
      <c r="F2" s="29" t="n"/>
      <c r="G2" s="29" t="n"/>
      <c r="H2" s="29" t="n"/>
      <c r="I2" s="29" t="n"/>
      <c r="J2" s="30" t="n"/>
      <c r="K2" s="3" t="n"/>
      <c r="L2" s="4" t="inlineStr">
        <is>
          <t>N° DE NIT</t>
        </is>
      </c>
      <c r="O2" s="9" t="inlineStr">
        <is>
          <t xml:space="preserve"> </t>
        </is>
      </c>
      <c r="P2" s="31" t="inlineStr">
        <is>
          <t>6570013013</t>
        </is>
      </c>
      <c r="Q2" s="29" t="n"/>
      <c r="R2" s="30" t="n"/>
      <c r="S2" s="3" t="n"/>
      <c r="T2" s="3" t="n"/>
      <c r="U2" s="11" t="inlineStr">
        <is>
          <t>Página</t>
        </is>
      </c>
      <c r="V2" s="12" t="n">
        <v>1</v>
      </c>
      <c r="W2" s="11" t="inlineStr">
        <is>
          <t>de</t>
        </is>
      </c>
      <c r="X2" s="12" t="n">
        <v>1</v>
      </c>
    </row>
    <row r="3" ht="15" customHeight="1">
      <c r="A3" s="13" t="inlineStr">
        <is>
          <t>N° IDENTIFICADOR DEL EMPLEADO ANTE EL MINISTERIO DE TRABAJO</t>
        </is>
      </c>
      <c r="F3" s="32" t="n"/>
      <c r="G3" s="31" t="inlineStr">
        <is>
          <t>6570013013</t>
        </is>
      </c>
      <c r="H3" s="29" t="n"/>
      <c r="I3" s="29" t="n"/>
      <c r="J3" s="30" t="n"/>
      <c r="K3" s="3" t="n"/>
      <c r="L3" s="13" t="inlineStr">
        <is>
          <t>N° DE EMPLEADOR (Caja de Salud)</t>
        </is>
      </c>
      <c r="O3" s="32" t="n"/>
      <c r="P3" s="31" t="inlineStr">
        <is>
          <t>350-1-2177</t>
        </is>
      </c>
      <c r="Q3" s="29" t="n"/>
      <c r="R3" s="30" t="n"/>
      <c r="S3" s="3" t="n"/>
      <c r="T3" s="3" t="n"/>
      <c r="U3" s="3" t="n"/>
      <c r="V3" s="3" t="n"/>
      <c r="W3" s="3" t="n"/>
      <c r="X3" s="3" t="n"/>
    </row>
    <row r="4" ht="18.6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</row>
    <row r="5" ht="33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6" t="inlineStr">
        <is>
          <t>PLANILLA DE SUELDOS Y SALARIOS</t>
        </is>
      </c>
      <c r="P5" s="1" t="n"/>
      <c r="Q5" s="1" t="n"/>
      <c r="R5" s="1" t="n"/>
      <c r="S5" s="1" t="n"/>
      <c r="T5" s="1" t="n"/>
      <c r="U5" s="1" t="n"/>
      <c r="V5" s="1" t="n"/>
      <c r="W5" s="1" t="n"/>
      <c r="X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8" t="inlineStr">
        <is>
          <t>(Bolivianos)</t>
        </is>
      </c>
      <c r="P6" s="1" t="n"/>
      <c r="Q6" s="1" t="n"/>
      <c r="R6" s="1" t="n"/>
      <c r="S6" s="1" t="n"/>
      <c r="T6" s="1" t="n"/>
      <c r="U6" s="33" t="inlineStr">
        <is>
          <t>CORRESPONDIENTE AL MES DE JULIO DE 2026</t>
        </is>
      </c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</row>
    <row r="8" ht="28.9" customHeight="1">
      <c r="A8" s="19" t="inlineStr">
        <is>
          <t>N°</t>
        </is>
      </c>
      <c r="B8" s="19" t="inlineStr">
        <is>
          <t>Documento de identidad</t>
        </is>
      </c>
      <c r="C8" s="19" t="inlineStr">
        <is>
          <t>Apellidos y Nombres</t>
        </is>
      </c>
      <c r="D8" s="19" t="inlineStr">
        <is>
          <t>Pais de natalidad</t>
        </is>
      </c>
      <c r="E8" s="19" t="inlineStr">
        <is>
          <t>Fecha de nacimiento</t>
        </is>
      </c>
      <c r="F8" s="19" t="inlineStr">
        <is>
          <t>Sexo (V/M)</t>
        </is>
      </c>
      <c r="G8" s="19" t="inlineStr">
        <is>
          <t>Ocupación que desempeña</t>
        </is>
      </c>
      <c r="H8" s="19" t="inlineStr">
        <is>
          <t>Fecha de ingreso</t>
        </is>
      </c>
      <c r="I8" s="19" t="inlineStr">
        <is>
          <t>Horas Pagadas (Dia)</t>
        </is>
      </c>
      <c r="J8" s="19" t="inlineStr">
        <is>
          <t>Dias pagados (Mes)</t>
        </is>
      </c>
      <c r="K8" s="19" t="inlineStr">
        <is>
          <t>Haber básico</t>
        </is>
      </c>
      <c r="L8" s="19" t="inlineStr">
        <is>
          <t>Bono de antigüedad</t>
        </is>
      </c>
      <c r="M8" s="19" t="inlineStr">
        <is>
          <t>Bono de producción</t>
        </is>
      </c>
      <c r="N8" s="19" t="inlineStr">
        <is>
          <t>Subsidio de frontera</t>
        </is>
      </c>
      <c r="O8" s="19" t="inlineStr">
        <is>
          <t>Trabajo extraordinario y nocturno</t>
        </is>
      </c>
      <c r="P8" s="19" t="inlineStr">
        <is>
          <t>Pago dominical y domingo trabajado</t>
        </is>
      </c>
      <c r="Q8" s="19" t="inlineStr">
        <is>
          <t>Otros bonos</t>
        </is>
      </c>
      <c r="R8" s="19" t="inlineStr">
        <is>
          <t>TOTAL GANADO</t>
        </is>
      </c>
      <c r="S8" s="19" t="inlineStr">
        <is>
          <t>Gestora Pública de Bolivia</t>
        </is>
      </c>
      <c r="T8" s="19" t="inlineStr">
        <is>
          <t>RC-IVA</t>
        </is>
      </c>
      <c r="U8" s="19" t="inlineStr">
        <is>
          <t>Otros descuentos</t>
        </is>
      </c>
      <c r="V8" s="19" t="inlineStr">
        <is>
          <t>TOTAL DESCUENTOS</t>
        </is>
      </c>
      <c r="W8" s="19" t="inlineStr">
        <is>
          <t>LÍQUIDO PAGABLE</t>
        </is>
      </c>
      <c r="X8" s="19" t="inlineStr">
        <is>
          <t>Firma</t>
        </is>
      </c>
    </row>
    <row r="9">
      <c r="A9" s="34" t="n"/>
      <c r="B9" s="34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</row>
    <row r="10">
      <c r="A10" s="35" t="n"/>
      <c r="B10" s="35" t="n"/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  <c r="U10" s="35" t="n"/>
      <c r="V10" s="35" t="n"/>
      <c r="W10" s="35" t="n"/>
      <c r="X10" s="35" t="n"/>
    </row>
    <row r="11" ht="29" customHeight="1">
      <c r="A11" s="36" t="n">
        <v>1</v>
      </c>
      <c r="B11" s="36" t="inlineStr">
        <is>
          <t>6570013 - PT</t>
        </is>
      </c>
      <c r="C11" s="37" t="inlineStr">
        <is>
          <t>MANRRIQUE SANTI HIPOLITO</t>
        </is>
      </c>
      <c r="D11" s="36" t="inlineStr">
        <is>
          <t>Boliviana</t>
        </is>
      </c>
      <c r="E11" s="36" t="inlineStr">
        <is>
          <t>1972-04-01</t>
        </is>
      </c>
      <c r="F11" s="36" t="inlineStr">
        <is>
          <t>M</t>
        </is>
      </c>
      <c r="G11" s="37" t="inlineStr">
        <is>
          <t>Administrador</t>
        </is>
      </c>
      <c r="H11" s="36" t="inlineStr">
        <is>
          <t>2015-04-15</t>
        </is>
      </c>
      <c r="I11" s="38" t="n">
        <v>240</v>
      </c>
      <c r="J11" s="38" t="n">
        <v>30</v>
      </c>
      <c r="K11" s="39" t="n">
        <v>5197.35</v>
      </c>
      <c r="L11" s="39" t="n">
        <v>2574</v>
      </c>
      <c r="M11" s="39" t="n">
        <v>0</v>
      </c>
      <c r="N11" s="39" t="n">
        <v>0</v>
      </c>
      <c r="O11" s="39" t="n">
        <v>0</v>
      </c>
      <c r="P11" s="39" t="n">
        <v>0</v>
      </c>
      <c r="Q11" s="39" t="n">
        <v>0</v>
      </c>
      <c r="R11" s="40" t="n">
        <v>7771.35</v>
      </c>
      <c r="S11" s="39" t="n">
        <v>987.74</v>
      </c>
      <c r="T11" s="39" t="n">
        <v>0</v>
      </c>
      <c r="U11" s="39" t="n">
        <v>0</v>
      </c>
      <c r="V11" s="40" t="n">
        <v>987.74</v>
      </c>
      <c r="W11" s="40" t="n">
        <v>6783.61</v>
      </c>
      <c r="X11" s="36" t="inlineStr"/>
    </row>
    <row r="12" ht="29" customHeight="1">
      <c r="A12" s="36" t="n">
        <v>2</v>
      </c>
      <c r="B12" s="36" t="inlineStr">
        <is>
          <t>6051632 - LP</t>
        </is>
      </c>
      <c r="C12" s="37" t="inlineStr">
        <is>
          <t>CHAPI RAMOS JUAN JOSE</t>
        </is>
      </c>
      <c r="D12" s="36" t="inlineStr">
        <is>
          <t>Boliviana</t>
        </is>
      </c>
      <c r="E12" s="36" t="inlineStr">
        <is>
          <t>1981-11-05</t>
        </is>
      </c>
      <c r="F12" s="36" t="inlineStr">
        <is>
          <t>M</t>
        </is>
      </c>
      <c r="G12" s="37" t="inlineStr">
        <is>
          <t>Tornero</t>
        </is>
      </c>
      <c r="H12" s="36" t="inlineStr">
        <is>
          <t>2015-06-01</t>
        </is>
      </c>
      <c r="I12" s="38" t="n">
        <v>240</v>
      </c>
      <c r="J12" s="38" t="n">
        <v>30</v>
      </c>
      <c r="K12" s="39" t="n">
        <v>3712.35</v>
      </c>
      <c r="L12" s="39" t="n">
        <v>2574</v>
      </c>
      <c r="M12" s="39" t="n">
        <v>0</v>
      </c>
      <c r="N12" s="39" t="n">
        <v>0</v>
      </c>
      <c r="O12" s="39" t="n">
        <v>0</v>
      </c>
      <c r="P12" s="39" t="n">
        <v>0</v>
      </c>
      <c r="Q12" s="39" t="n">
        <v>0</v>
      </c>
      <c r="R12" s="40" t="n">
        <v>6286.35</v>
      </c>
      <c r="S12" s="39" t="n">
        <v>799</v>
      </c>
      <c r="T12" s="39" t="n">
        <v>0</v>
      </c>
      <c r="U12" s="39" t="n">
        <v>0</v>
      </c>
      <c r="V12" s="40" t="n">
        <v>799</v>
      </c>
      <c r="W12" s="40" t="n">
        <v>5487.35</v>
      </c>
      <c r="X12" s="36" t="inlineStr"/>
    </row>
    <row r="13" ht="29" customHeight="1">
      <c r="A13" s="36" t="n">
        <v>3</v>
      </c>
      <c r="B13" s="36" t="inlineStr">
        <is>
          <t>4369408 - OR</t>
        </is>
      </c>
      <c r="C13" s="37" t="inlineStr">
        <is>
          <t>CHAMBILLA CHOQUE FREDDY ALEX</t>
        </is>
      </c>
      <c r="D13" s="36" t="inlineStr">
        <is>
          <t>Boliviana</t>
        </is>
      </c>
      <c r="E13" s="36" t="inlineStr">
        <is>
          <t>1973-05-29</t>
        </is>
      </c>
      <c r="F13" s="36" t="inlineStr">
        <is>
          <t>M</t>
        </is>
      </c>
      <c r="G13" s="37" t="inlineStr">
        <is>
          <t>Tornero</t>
        </is>
      </c>
      <c r="H13" s="36" t="inlineStr">
        <is>
          <t>2015-06-01</t>
        </is>
      </c>
      <c r="I13" s="38" t="n">
        <v>240</v>
      </c>
      <c r="J13" s="38" t="n">
        <v>30</v>
      </c>
      <c r="K13" s="39" t="n">
        <v>3300</v>
      </c>
      <c r="L13" s="39" t="n">
        <v>2574</v>
      </c>
      <c r="M13" s="39" t="n">
        <v>0</v>
      </c>
      <c r="N13" s="39" t="n">
        <v>0</v>
      </c>
      <c r="O13" s="39" t="n">
        <v>0</v>
      </c>
      <c r="P13" s="39" t="n">
        <v>0</v>
      </c>
      <c r="Q13" s="39" t="n">
        <v>0</v>
      </c>
      <c r="R13" s="40" t="n">
        <v>5874</v>
      </c>
      <c r="S13" s="39" t="n">
        <v>746.59</v>
      </c>
      <c r="T13" s="39" t="n">
        <v>0</v>
      </c>
      <c r="U13" s="39" t="n">
        <v>0</v>
      </c>
      <c r="V13" s="40" t="n">
        <v>746.59</v>
      </c>
      <c r="W13" s="40" t="n">
        <v>5127.41</v>
      </c>
      <c r="X13" s="36" t="inlineStr"/>
    </row>
    <row r="14" ht="29" customHeight="1">
      <c r="A14" s="36" t="n">
        <v>4</v>
      </c>
      <c r="B14" s="36" t="inlineStr">
        <is>
          <t>3440193 - LP</t>
        </is>
      </c>
      <c r="C14" s="37" t="inlineStr">
        <is>
          <t>CHAPI CALLE SABINO</t>
        </is>
      </c>
      <c r="D14" s="36" t="inlineStr">
        <is>
          <t>Boliviana</t>
        </is>
      </c>
      <c r="E14" s="36" t="inlineStr">
        <is>
          <t>1967-04-07</t>
        </is>
      </c>
      <c r="F14" s="36" t="inlineStr">
        <is>
          <t>M</t>
        </is>
      </c>
      <c r="G14" s="37" t="inlineStr">
        <is>
          <t>Chofer</t>
        </is>
      </c>
      <c r="H14" s="36" t="inlineStr">
        <is>
          <t>2015-06-01</t>
        </is>
      </c>
      <c r="I14" s="38" t="n">
        <v>240</v>
      </c>
      <c r="J14" s="38" t="n">
        <v>30</v>
      </c>
      <c r="K14" s="39" t="n">
        <v>3300</v>
      </c>
      <c r="L14" s="39" t="n">
        <v>2574</v>
      </c>
      <c r="M14" s="39" t="n">
        <v>0</v>
      </c>
      <c r="N14" s="39" t="n">
        <v>0</v>
      </c>
      <c r="O14" s="39" t="n">
        <v>0</v>
      </c>
      <c r="P14" s="39" t="n">
        <v>0</v>
      </c>
      <c r="Q14" s="39" t="n">
        <v>0</v>
      </c>
      <c r="R14" s="40" t="n">
        <v>5874</v>
      </c>
      <c r="S14" s="39" t="n">
        <v>746.59</v>
      </c>
      <c r="T14" s="39" t="n">
        <v>0</v>
      </c>
      <c r="U14" s="39" t="n">
        <v>0</v>
      </c>
      <c r="V14" s="40" t="n">
        <v>746.59</v>
      </c>
      <c r="W14" s="40" t="n">
        <v>5127.41</v>
      </c>
      <c r="X14" s="36" t="inlineStr"/>
    </row>
    <row r="15" ht="29" customHeight="1">
      <c r="A15" s="36" t="n">
        <v>5</v>
      </c>
      <c r="B15" s="36" t="inlineStr">
        <is>
          <t>9879992 - LP</t>
        </is>
      </c>
      <c r="C15" s="37" t="inlineStr">
        <is>
          <t>BRAVO ACOSTA GABRIEL</t>
        </is>
      </c>
      <c r="D15" s="36" t="inlineStr">
        <is>
          <t>Boliviana</t>
        </is>
      </c>
      <c r="E15" s="36" t="inlineStr">
        <is>
          <t>1990-09-01</t>
        </is>
      </c>
      <c r="F15" s="36" t="inlineStr">
        <is>
          <t>M</t>
        </is>
      </c>
      <c r="G15" s="37" t="inlineStr">
        <is>
          <t>Soldador</t>
        </is>
      </c>
      <c r="H15" s="36" t="inlineStr">
        <is>
          <t>2022-02-14</t>
        </is>
      </c>
      <c r="I15" s="38" t="n">
        <v>240</v>
      </c>
      <c r="J15" s="38" t="n">
        <v>30</v>
      </c>
      <c r="K15" s="39" t="n">
        <v>3300</v>
      </c>
      <c r="L15" s="39" t="n">
        <v>495</v>
      </c>
      <c r="M15" s="39" t="n">
        <v>0</v>
      </c>
      <c r="N15" s="39" t="n">
        <v>0</v>
      </c>
      <c r="O15" s="39" t="n">
        <v>0</v>
      </c>
      <c r="P15" s="39" t="n">
        <v>0</v>
      </c>
      <c r="Q15" s="39" t="n">
        <v>0</v>
      </c>
      <c r="R15" s="40" t="n">
        <v>3795</v>
      </c>
      <c r="S15" s="39" t="n">
        <v>482.34</v>
      </c>
      <c r="T15" s="39" t="n">
        <v>0</v>
      </c>
      <c r="U15" s="39" t="n">
        <v>0</v>
      </c>
      <c r="V15" s="40" t="n">
        <v>482.34</v>
      </c>
      <c r="W15" s="40" t="n">
        <v>3312.66</v>
      </c>
      <c r="X15" s="36" t="inlineStr"/>
    </row>
    <row r="16" ht="29" customHeight="1">
      <c r="A16" s="36" t="n">
        <v>6</v>
      </c>
      <c r="B16" s="36" t="inlineStr">
        <is>
          <t>2448510 - LP</t>
        </is>
      </c>
      <c r="C16" s="37" t="inlineStr">
        <is>
          <t>VEIDA JALDIN JOSE LUIS GERARDO</t>
        </is>
      </c>
      <c r="D16" s="36" t="inlineStr">
        <is>
          <t>Boliviana</t>
        </is>
      </c>
      <c r="E16" s="36" t="inlineStr">
        <is>
          <t>1971-09-01</t>
        </is>
      </c>
      <c r="F16" s="36" t="inlineStr">
        <is>
          <t>M</t>
        </is>
      </c>
      <c r="G16" s="37" t="inlineStr">
        <is>
          <t>Tecnico Dibujante</t>
        </is>
      </c>
      <c r="H16" s="36" t="inlineStr">
        <is>
          <t>2025-01-01</t>
        </is>
      </c>
      <c r="I16" s="38" t="n">
        <v>240</v>
      </c>
      <c r="J16" s="38" t="n">
        <v>30</v>
      </c>
      <c r="K16" s="39" t="n">
        <v>3300</v>
      </c>
      <c r="L16" s="39" t="n">
        <v>0</v>
      </c>
      <c r="M16" s="39" t="n">
        <v>0</v>
      </c>
      <c r="N16" s="39" t="n">
        <v>0</v>
      </c>
      <c r="O16" s="39" t="n">
        <v>0</v>
      </c>
      <c r="P16" s="39" t="n">
        <v>0</v>
      </c>
      <c r="Q16" s="39" t="n">
        <v>0</v>
      </c>
      <c r="R16" s="40" t="n">
        <v>3300</v>
      </c>
      <c r="S16" s="39" t="n">
        <v>419.43</v>
      </c>
      <c r="T16" s="39" t="n">
        <v>0</v>
      </c>
      <c r="U16" s="39" t="n">
        <v>0</v>
      </c>
      <c r="V16" s="40" t="n">
        <v>419.43</v>
      </c>
      <c r="W16" s="40" t="n">
        <v>2880.57</v>
      </c>
      <c r="X16" s="36" t="inlineStr"/>
    </row>
    <row r="17" ht="29" customHeight="1">
      <c r="A17" s="36" t="n">
        <v>7</v>
      </c>
      <c r="B17" s="36" t="inlineStr">
        <is>
          <t>3972029 - LP</t>
        </is>
      </c>
      <c r="C17" s="37" t="inlineStr">
        <is>
          <t>FLORES GIRON GERARDO REISINY</t>
        </is>
      </c>
      <c r="D17" s="36" t="inlineStr">
        <is>
          <t>Boliviana</t>
        </is>
      </c>
      <c r="E17" s="36" t="inlineStr">
        <is>
          <t>1974-09-24</t>
        </is>
      </c>
      <c r="F17" s="36" t="inlineStr">
        <is>
          <t>M</t>
        </is>
      </c>
      <c r="G17" s="37" t="inlineStr">
        <is>
          <t>Electrico</t>
        </is>
      </c>
      <c r="H17" s="36" t="inlineStr">
        <is>
          <t>2026-07-01</t>
        </is>
      </c>
      <c r="I17" s="38" t="n">
        <v>240</v>
      </c>
      <c r="J17" s="38" t="n">
        <v>30</v>
      </c>
      <c r="K17" s="39" t="n">
        <v>3300</v>
      </c>
      <c r="L17" s="39" t="n">
        <v>0</v>
      </c>
      <c r="M17" s="39" t="n">
        <v>0</v>
      </c>
      <c r="N17" s="39" t="n">
        <v>0</v>
      </c>
      <c r="O17" s="39" t="n">
        <v>0</v>
      </c>
      <c r="P17" s="39" t="n">
        <v>0</v>
      </c>
      <c r="Q17" s="39" t="n">
        <v>0</v>
      </c>
      <c r="R17" s="40" t="n">
        <v>3300</v>
      </c>
      <c r="S17" s="39" t="n">
        <v>419.43</v>
      </c>
      <c r="T17" s="39" t="n">
        <v>0</v>
      </c>
      <c r="U17" s="39" t="n">
        <v>0</v>
      </c>
      <c r="V17" s="40" t="n">
        <v>419.43</v>
      </c>
      <c r="W17" s="40" t="n">
        <v>2880.57</v>
      </c>
      <c r="X17" s="36" t="inlineStr"/>
    </row>
    <row r="18" ht="26" customHeight="1">
      <c r="A18" s="41" t="inlineStr">
        <is>
          <t>TOTALES</t>
        </is>
      </c>
      <c r="B18" s="42" t="n"/>
      <c r="C18" s="42" t="n"/>
      <c r="D18" s="42" t="n"/>
      <c r="E18" s="42" t="n"/>
      <c r="F18" s="42" t="n"/>
      <c r="G18" s="42" t="n"/>
      <c r="H18" s="42" t="n"/>
      <c r="I18" s="42" t="n"/>
      <c r="J18" s="43" t="n"/>
      <c r="K18" s="44">
        <f>SUM(K11:K17)</f>
        <v/>
      </c>
      <c r="L18" s="44">
        <f>SUM(L11:L17)</f>
        <v/>
      </c>
      <c r="M18" s="44">
        <f>SUM(M11:M17)</f>
        <v/>
      </c>
      <c r="N18" s="44">
        <f>SUM(N11:N17)</f>
        <v/>
      </c>
      <c r="O18" s="44">
        <f>SUM(O11:O17)</f>
        <v/>
      </c>
      <c r="P18" s="44">
        <f>SUM(P11:P17)</f>
        <v/>
      </c>
      <c r="Q18" s="44">
        <f>SUM(Q11:Q17)</f>
        <v/>
      </c>
      <c r="R18" s="45">
        <f>SUM(R11:R17)</f>
        <v/>
      </c>
      <c r="S18" s="44">
        <f>SUM(S11:S17)</f>
        <v/>
      </c>
      <c r="T18" s="44">
        <f>SUM(T11:T17)</f>
        <v/>
      </c>
      <c r="U18" s="44">
        <f>SUM(U11:U17)</f>
        <v/>
      </c>
      <c r="V18" s="45">
        <f>SUM(V11:V17)</f>
        <v/>
      </c>
      <c r="W18" s="45">
        <f>SUM(W11:W17)</f>
        <v/>
      </c>
      <c r="X18" s="46" t="n"/>
    </row>
    <row r="19" ht="16" customHeight="1"/>
    <row r="20" ht="16" customHeight="1"/>
    <row r="21" ht="26" customHeight="1">
      <c r="D21" s="47" t="inlineStr">
        <is>
          <t>…..................................................................................................................................</t>
        </is>
      </c>
      <c r="L21" s="47" t="inlineStr">
        <is>
          <t>…................................................................................................</t>
        </is>
      </c>
      <c r="R21" s="47" t="inlineStr">
        <is>
          <t>…................................................................................................</t>
        </is>
      </c>
    </row>
    <row r="22" ht="24" customHeight="1">
      <c r="D22" s="33" t="inlineStr">
        <is>
          <t>MANRRIQUE SANTI HIPOLITO</t>
        </is>
      </c>
      <c r="L22" s="33" t="inlineStr">
        <is>
          <t>CI: 6570013 - PT</t>
        </is>
      </c>
      <c r="R22" s="33" t="inlineStr">
        <is>
          <t>FIRMA</t>
        </is>
      </c>
    </row>
  </sheetData>
  <mergeCells count="42">
    <mergeCell ref="A8:A10"/>
    <mergeCell ref="L22:O22"/>
    <mergeCell ref="R22:U22"/>
    <mergeCell ref="P2:R2"/>
    <mergeCell ref="W8:W10"/>
    <mergeCell ref="L21:O21"/>
    <mergeCell ref="D8:D10"/>
    <mergeCell ref="A3:F3"/>
    <mergeCell ref="A2:C2"/>
    <mergeCell ref="M8:M10"/>
    <mergeCell ref="O8:O10"/>
    <mergeCell ref="U8:U10"/>
    <mergeCell ref="C8:C10"/>
    <mergeCell ref="R8:R10"/>
    <mergeCell ref="X8:X10"/>
    <mergeCell ref="U6:X6"/>
    <mergeCell ref="G8:G10"/>
    <mergeCell ref="P3:R3"/>
    <mergeCell ref="H8:H10"/>
    <mergeCell ref="J8:J10"/>
    <mergeCell ref="E8:E10"/>
    <mergeCell ref="V8:V10"/>
    <mergeCell ref="L3:O3"/>
    <mergeCell ref="B8:B10"/>
    <mergeCell ref="D2:J2"/>
    <mergeCell ref="S8:S10"/>
    <mergeCell ref="L2:N2"/>
    <mergeCell ref="Q8:Q10"/>
    <mergeCell ref="J5:O5"/>
    <mergeCell ref="G3:J3"/>
    <mergeCell ref="A18:J18"/>
    <mergeCell ref="L8:L10"/>
    <mergeCell ref="D22:I22"/>
    <mergeCell ref="R21:U21"/>
    <mergeCell ref="N8:N10"/>
    <mergeCell ref="I8:I10"/>
    <mergeCell ref="P8:P10"/>
    <mergeCell ref="K8:K10"/>
    <mergeCell ref="T8:T10"/>
    <mergeCell ref="D21:I21"/>
    <mergeCell ref="F8:F10"/>
    <mergeCell ref="J6:O6"/>
  </mergeCells>
  <pageMargins left="0.25" right="0.25" top="0.35" bottom="0.35" header="0.1" footer="0.1"/>
  <pageSetup orientation="landscape" paperSize="1" scale="44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Rodnny Altamirano F.</dc:creator>
  <dcterms:created xmlns:dcterms="http://purl.org/dc/terms/" xmlns:xsi="http://www.w3.org/2001/XMLSchema-instance" xsi:type="dcterms:W3CDTF">2026-08-24T14:16:27Z</dcterms:created>
  <dcterms:modified xmlns:dcterms="http://purl.org/dc/terms/" xmlns:xsi="http://www.w3.org/2001/XMLSchema-instance" xsi:type="dcterms:W3CDTF">2026-09-10T13:14:50Z</dcterms:modified>
  <cp:lastModifiedBy>Rengifo</cp:lastModifiedBy>
  <cp:lastPrinted>2026-09-02T13:09:05Z</cp:lastPrinted>
</cp:coreProperties>
</file>